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dfa9406204d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d7387bea3a45db843dbe675733963a.psmdcp" Id="R41bbd297627c4a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structions" sheetId="1" r:id="rId2"/>
    <x:sheet name="Balance Sheet" sheetId="2" r:id="rId3"/>
    <x:sheet name="Income Statement" sheetId="3" r:id="rId4"/>
    <x:sheet name="Cash Flow" sheetId="4" r:id="rId5"/>
  </x:sheets>
  <x:definedNames/>
  <x:calcPr calcId="125725"/>
</x:workbook>
</file>

<file path=xl/calcChain.xml><?xml version="1.0" encoding="utf-8"?>
<x:calcChain xmlns:x="http://schemas.openxmlformats.org/spreadsheetml/2006/main">
  <x:c r="C13" i="2"/>
  <x:c r="D13" i="2"/>
  <x:c r="E13" i="2"/>
  <x:c r="C21" i="2"/>
  <x:c r="D21" i="2"/>
  <x:c r="E21" i="2"/>
  <x:c r="C23" i="2"/>
  <x:c r="D23" i="2"/>
  <x:c r="E23" i="2"/>
  <x:c r="C34" i="2"/>
  <x:c r="D34" i="2"/>
  <x:c r="E34" i="2"/>
  <x:c r="C41" i="2"/>
  <x:c r="D41" i="2"/>
  <x:c r="E41" i="2"/>
  <x:c r="C43" i="2"/>
  <x:c r="D43" i="2"/>
  <x:c r="E43" i="2"/>
  <x:c r="C51" i="2"/>
  <x:c r="D51" i="2"/>
  <x:c r="E51" i="2"/>
  <x:c r="C54" i="2"/>
  <x:c r="D54" i="2"/>
  <x:c r="E54" i="2"/>
  <x:c r="C56" i="2"/>
  <x:c r="D56" i="2"/>
  <x:c r="E56" i="2"/>
  <x:c r="C8" i="3"/>
  <x:c r="D8" i="3"/>
  <x:c r="E8" i="3"/>
  <x:c r="C11" i="3"/>
  <x:c r="D11" i="3"/>
  <x:c r="E11" i="3"/>
  <x:c r="C18" i="3"/>
  <x:c r="D18" i="3"/>
  <x:c r="E18" i="3"/>
  <x:c r="C20" i="3"/>
  <x:c r="D20" i="3"/>
  <x:c r="E20" i="3"/>
  <x:c r="C21" i="3"/>
  <x:c r="D21" i="3"/>
  <x:c r="E21" i="3"/>
  <x:c r="C27" i="3"/>
  <x:c r="D27" i="3"/>
  <x:c r="E27" i="3"/>
  <x:c r="C29" i="3"/>
  <x:c r="D29" i="3"/>
  <x:c r="E29" i="3"/>
  <x:c r="C32" i="3"/>
  <x:c r="D32" i="3"/>
  <x:c r="E32" i="3"/>
  <x:c r="C12" i="4"/>
  <x:c r="D12" i="4"/>
  <x:c r="E12" i="4"/>
  <x:c r="C22" i="4"/>
  <x:c r="D22" i="4"/>
  <x:c r="E22" i="4"/>
  <x:c r="C31" i="4"/>
  <x:c r="D31" i="4"/>
  <x:c r="E31" i="4"/>
  <x:c r="C33" i="4"/>
  <x:c r="D33" i="4"/>
  <x:c r="E33" i="4"/>
  <x:c r="C35" i="4"/>
  <x:c r="D35" i="4"/>
  <x:c r="E35" i="4"/>
</x:calcChain>
</file>

<file path=xl/sharedStrings.xml><?xml version="1.0" encoding="utf-8"?>
<x:sst xmlns:x="http://schemas.openxmlformats.org/spreadsheetml/2006/main">
  <x:si>
    <x:t>CRMS Financial Statement Template</x:t>
  </x:si>
  <x:si>
    <x:t>Instructions:</x:t>
  </x:si>
  <x:si>
    <x:t>1. Fill in the Balance Sheet, Income Statement, and Cash Flow worksheets</x:t>
  </x:si>
  <x:si>
    <x:t>2. Enter amounts in Nigerian Naira (NGN) without currency symbols</x:t>
  </x:si>
  <x:si>
    <x:t>3. Use negative numbers for expenses and outflows where appropriate</x:t>
  </x:si>
  <x:si>
    <x:t>4. Ensure Balance Sheet balances: Total Assets = Total Liabilities + Total Equity</x:t>
  </x:si>
  <x:si>
    <x:t>5. You can enter up to 3 years of data (columns C, D, E)</x:t>
  </x:si>
  <x:si>
    <x:t>6. Set Year Type in row 4: Audited, ManagementAccounts, or Projected</x:t>
  </x:si>
  <x:si>
    <x:t>Year Types:</x:t>
  </x:si>
  <x:si>
    <x:t>- Audited: Externally audited by registered auditor</x:t>
  </x:si>
  <x:si>
    <x:t>- ManagementAccounts: Internally prepared management accounts</x:t>
  </x:si>
  <x:si>
    <x:t>- Projected: Future projections/forecasts</x:t>
  </x:si>
  <x:si>
    <x:t>Minimum Requirements (by business age):</x:t>
  </x:si>
  <x:si>
    <x:t>- Startup (&lt; 1 year): 3 years Projected</x:t>
  </x:si>
  <x:si>
    <x:t>- 1 year old: 1 Actual + 2 Projected</x:t>
  </x:si>
  <x:si>
    <x:t>- 2 years old: 2 Actuals (1 Audited) + 1 Projected</x:t>
  </x:si>
  <x:si>
    <x:t>- 3+ years old: 3 years Audited</x:t>
  </x:si>
  <x:si>
    <x:t>STATEMENT OF FINANCIAL POSITION (BALANCE SHEET)</x:t>
  </x:si>
  <x:si>
    <x:t>All amounts in NGN '000</x:t>
  </x:si>
  <x:si>
    <x:t>Line Item</x:t>
  </x:si>
  <x:si>
    <x:t>INCOME STATEMENT (PROFIT &amp; LOSS)</x:t>
  </x:si>
  <x:si>
    <x:t>Year Type</x:t>
  </x:si>
  <x:si>
    <x:t>Audited</x:t>
  </x:si>
  <x:si>
    <x:t>ASSETS</x:t>
  </x:si>
  <x:si>
    <x:t>Current Assets</x:t>
  </x:si>
  <x:si>
    <x:t>Cash and Cash Equivalents</x:t>
  </x:si>
  <x:si>
    <x:t>Trade Receivables</x:t>
  </x:si>
  <x:si>
    <x:t>Inventory</x:t>
  </x:si>
  <x:si>
    <x:t>Prepaid Expenses</x:t>
  </x:si>
  <x:si>
    <x:t>Other Current Assets</x:t>
  </x:si>
  <x:si>
    <x:t>Total Current Assets</x:t>
  </x:si>
  <x:si>
    <x:t>Non-Current Assets</x:t>
  </x:si>
  <x:si>
    <x:t>Property, Plant &amp; Equipment</x:t>
  </x:si>
  <x:si>
    <x:t>Intangible Assets</x:t>
  </x:si>
  <x:si>
    <x:t>Long-term Investments</x:t>
  </x:si>
  <x:si>
    <x:t>Deferred Tax Assets</x:t>
  </x:si>
  <x:si>
    <x:t>Other Non-Current Assets</x:t>
  </x:si>
  <x:si>
    <x:t>Total Non-Current Assets</x:t>
  </x:si>
  <x:si>
    <x:t>TOTAL ASSETS</x:t>
  </x:si>
  <x:si>
    <x:t>LIABILITIES</x:t>
  </x:si>
  <x:si>
    <x:t>Current Liabilities</x:t>
  </x:si>
  <x:si>
    <x:t>Trade Payables</x:t>
  </x:si>
  <x:si>
    <x:t>Short-term Borrowings</x:t>
  </x:si>
  <x:si>
    <x:t>Current Portion of Long-term Debt</x:t>
  </x:si>
  <x:si>
    <x:t>Accrued Expenses</x:t>
  </x:si>
  <x:si>
    <x:t>Tax Payable</x:t>
  </x:si>
  <x:si>
    <x:t>Other Current Liabilities</x:t>
  </x:si>
  <x:si>
    <x:t>Total Current Liabilities</x:t>
  </x:si>
  <x:si>
    <x:t>Non-Current Liabilities</x:t>
  </x:si>
  <x:si>
    <x:t>Long-term Debt</x:t>
  </x:si>
  <x:si>
    <x:t>Deferred Tax Liabilities</x:t>
  </x:si>
  <x:si>
    <x:t>Provisions</x:t>
  </x:si>
  <x:si>
    <x:t>Other Non-Current Liabilities</x:t>
  </x:si>
  <x:si>
    <x:t>Total Non-Current Liabilities</x:t>
  </x:si>
  <x:si>
    <x:t>TOTAL LIABILITIES</x:t>
  </x:si>
  <x:si>
    <x:t>EQUITY</x:t>
  </x:si>
  <x:si>
    <x:t>Share Capital</x:t>
  </x:si>
  <x:si>
    <x:t>Share Premium</x:t>
  </x:si>
  <x:si>
    <x:t>Retained Earnings</x:t>
  </x:si>
  <x:si>
    <x:t>Other Reserves</x:t>
  </x:si>
  <x:si>
    <x:t>TOTAL EQUITY</x:t>
  </x:si>
  <x:si>
    <x:t>TOTAL LIABILITIES + EQUITY</x:t>
  </x:si>
  <x:si>
    <x:t>Balance Check (should be 0)</x:t>
  </x:si>
  <x:si>
    <x:t>STATEMENT OF CASH FLOWS</x:t>
  </x:si>
  <x:si>
    <x:t>REVENUE</x:t>
  </x:si>
  <x:si>
    <x:t>Revenue from Operations</x:t>
  </x:si>
  <x:si>
    <x:t>Other Operating Income</x:t>
  </x:si>
  <x:si>
    <x:t>Total Revenue</x:t>
  </x:si>
  <x:si>
    <x:t>Cost of Sales</x:t>
  </x:si>
  <x:si>
    <x:t>GROSS PROFIT</x:t>
  </x:si>
  <x:si>
    <x:t>OPERATING EXPENSES</x:t>
  </x:si>
  <x:si>
    <x:t>Selling &amp; Distribution Expenses</x:t>
  </x:si>
  <x:si>
    <x:t>Administrative Expenses</x:t>
  </x:si>
  <x:si>
    <x:t>Depreciation &amp; Amortization</x:t>
  </x:si>
  <x:si>
    <x:t>Other Operating Expenses</x:t>
  </x:si>
  <x:si>
    <x:t>Total Operating Expenses</x:t>
  </x:si>
  <x:si>
    <x:t>OPERATING PROFIT (EBIT)</x:t>
  </x:si>
  <x:si>
    <x:t>EBITDA</x:t>
  </x:si>
  <x:si>
    <x:t>FINANCE</x:t>
  </x:si>
  <x:si>
    <x:t>Interest Income</x:t>
  </x:si>
  <x:si>
    <x:t>Interest Expense</x:t>
  </x:si>
  <x:si>
    <x:t>Other Finance Costs</x:t>
  </x:si>
  <x:si>
    <x:t>Net Finance Cost</x:t>
  </x:si>
  <x:si>
    <x:t>PROFIT BEFORE TAX</x:t>
  </x:si>
  <x:si>
    <x:t>Income Tax Expense</x:t>
  </x:si>
  <x:si>
    <x:t>NET PROFIT</x:t>
  </x:si>
  <x:si>
    <x:t>Dividends Declared</x:t>
  </x:si>
  <x:si>
    <x:t>CASH FLOWS FROM OPERATING ACTIVITIES</x:t>
  </x:si>
  <x:si>
    <x:t>Profit Before Tax</x:t>
  </x:si>
  <x:si>
    <x:t>Interest Expense (add back)</x:t>
  </x:si>
  <x:si>
    <x:t>Changes in Working Capital</x:t>
  </x:si>
  <x:si>
    <x:t>Tax Paid (negative)</x:t>
  </x:si>
  <x:si>
    <x:t>Other Operating Adjustments</x:t>
  </x:si>
  <x:si>
    <x:t>Net Cash from Operating Activities</x:t>
  </x:si>
  <x:si>
    <x:t>CASH FLOWS FROM INVESTING ACTIVITIES</x:t>
  </x:si>
  <x:si>
    <x:t>Purchase of PPE (negative)</x:t>
  </x:si>
  <x:si>
    <x:t>Sale of PPE</x:t>
  </x:si>
  <x:si>
    <x:t>Purchase of Investments (negative)</x:t>
  </x:si>
  <x:si>
    <x:t>Sale of Investments</x:t>
  </x:si>
  <x:si>
    <x:t>Interest Received</x:t>
  </x:si>
  <x:si>
    <x:t>Dividends Received</x:t>
  </x:si>
  <x:si>
    <x:t>Other Investing Activities</x:t>
  </x:si>
  <x:si>
    <x:t>Net Cash from Investing Activities</x:t>
  </x:si>
  <x:si>
    <x:t>CASH FLOWS FROM FINANCING ACTIVITIES</x:t>
  </x:si>
  <x:si>
    <x:t>Proceeds from Borrowings</x:t>
  </x:si>
  <x:si>
    <x:t>Repayment of Borrowings (negative)</x:t>
  </x:si>
  <x:si>
    <x:t>Interest Paid (negative)</x:t>
  </x:si>
  <x:si>
    <x:t>Dividends Paid (negative)</x:t>
  </x:si>
  <x:si>
    <x:t>Proceeds from Share Issue</x:t>
  </x:si>
  <x:si>
    <x:t>Other Financing Activities</x:t>
  </x:si>
  <x:si>
    <x:t>Net Cash from Financing Activities</x:t>
  </x:si>
  <x:si>
    <x:t>NET CHANGE IN CASH</x:t>
  </x:si>
  <x:si>
    <x:t>Opening Cash Balance</x:t>
  </x:si>
  <x:si>
    <x:t>CLOSING CASH BALANCE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</x:si>
</x:sst>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i/>
      <x:vertAlign val="baseline"/>
      <x:sz val="11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ADD8E6"/>
      </x:patternFill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2" fillId="4" borderId="0" applyNumberFormat="1" applyFill="0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0" fillId="4" borderId="0" applyNumberFormat="1" applyFill="0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ill>
        <x:patternFill patternType="solid">
          <x:fgColor auto="1"/>
          <x:bgColor rgb="FFFF0000"/>
        </x:patternFill>
      </x:fill>
    </x:dxf>
    <x:dxf>
      <x:fill>
        <x:patternFill patternType="solid">
          <x:fgColor auto="1"/>
          <x:bgColor rgb="FF90EE9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calcChain" Target="/xl/calcChain.xml" Id="rId8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0"/>
  <x:sheetViews>
    <x:sheetView workbookViewId="0"/>
  </x:sheetViews>
  <x:sheetFormatPr defaultRowHeight="15"/>
  <x:cols>
    <x:col min="1" max="1" width="70.139196" style="0" customWidth="1"/>
  </x:cols>
  <x:sheetData>
    <x:row r="1" spans="1:1">
      <x:c r="A1" s="1" t="s">
        <x:v>0</x:v>
      </x:c>
    </x:row>
    <x:row r="3" spans="1:1">
      <x:c r="A3" s="2" t="s">
        <x:v>1</x:v>
      </x:c>
    </x:row>
    <x:row r="4" spans="1:1">
      <x:c r="A4" s="0" t="s">
        <x:v>2</x:v>
      </x:c>
    </x:row>
    <x:row r="5" spans="1:1">
      <x:c r="A5" s="0" t="s">
        <x:v>3</x:v>
      </x:c>
    </x:row>
    <x:row r="6" spans="1:1">
      <x:c r="A6" s="0" t="s">
        <x:v>4</x:v>
      </x:c>
    </x:row>
    <x:row r="7" spans="1:1">
      <x:c r="A7" s="0" t="s">
        <x:v>5</x:v>
      </x:c>
    </x:row>
    <x:row r="8" spans="1:1">
      <x:c r="A8" s="0" t="s">
        <x:v>6</x:v>
      </x:c>
    </x:row>
    <x:row r="9" spans="1:1">
      <x:c r="A9" s="0" t="s">
        <x:v>7</x:v>
      </x:c>
    </x:row>
    <x:row r="11" spans="1:1">
      <x:c r="A11" s="2" t="s">
        <x:v>8</x:v>
      </x:c>
    </x:row>
    <x:row r="12" spans="1:1">
      <x:c r="A12" s="0" t="s">
        <x:v>9</x:v>
      </x:c>
    </x:row>
    <x:row r="13" spans="1:1">
      <x:c r="A13" s="0" t="s">
        <x:v>10</x:v>
      </x:c>
    </x:row>
    <x:row r="14" spans="1:1">
      <x:c r="A14" s="0" t="s">
        <x:v>11</x:v>
      </x:c>
    </x:row>
    <x:row r="16" spans="1:1">
      <x:c r="A16" s="2" t="s">
        <x:v>12</x:v>
      </x:c>
    </x:row>
    <x:row r="17" spans="1:1">
      <x:c r="A17" s="0" t="s">
        <x:v>13</x:v>
      </x:c>
    </x:row>
    <x:row r="18" spans="1:1">
      <x:c r="A18" s="0" t="s">
        <x:v>14</x:v>
      </x:c>
    </x:row>
    <x:row r="19" spans="1:1">
      <x:c r="A19" s="0" t="s">
        <x:v>15</x:v>
      </x:c>
    </x:row>
    <x:row r="20" spans="1:1">
      <x:c r="A20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0"/>
  <x:sheetViews>
    <x:sheetView workbookViewId="0"/>
  </x:sheetViews>
  <x:sheetFormatPr defaultRowHeight="15"/>
  <x:cols>
    <x:col min="1" max="1" width="35.710625" style="0" customWidth="1"/>
    <x:col min="2" max="2" width="5.710625" style="0" customWidth="1"/>
    <x:col min="3" max="5" width="15.710625" style="0" customWidth="1"/>
  </x:cols>
  <x:sheetData>
    <x:row r="1" spans="1:5">
      <x:c r="A1" s="3" t="s">
        <x:v>17</x:v>
      </x:c>
      <x:c r="B1" s="3"/>
      <x:c r="C1" s="3"/>
      <x:c r="D1" s="3"/>
      <x:c r="E1" s="3"/>
    </x:row>
    <x:row r="2" spans="1:5">
      <x:c r="A2" s="0" t="s">
        <x:v>18</x:v>
      </x:c>
    </x:row>
    <x:row r="3" spans="1:5">
      <x:c r="B3" s="4" t="s">
        <x:v>19</x:v>
      </x:c>
      <x:c r="C3" s="4">
        <x:v>2023</x:v>
      </x:c>
      <x:c r="D3" s="4">
        <x:v>2024</x:v>
      </x:c>
      <x:c r="E3" s="4">
        <x:v>2025</x:v>
      </x:c>
    </x:row>
    <x:row r="4" spans="1:5">
      <x:c r="B4" s="4" t="s">
        <x:v>21</x:v>
      </x:c>
      <x:c r="C4" s="4" t="s">
        <x:v>22</x:v>
      </x:c>
      <x:c r="D4" s="4" t="s">
        <x:v>22</x:v>
      </x:c>
      <x:c r="E4" s="4" t="s">
        <x:v>22</x:v>
      </x:c>
    </x:row>
    <x:row r="6" spans="1:5">
      <x:c r="A6" s="2" t="s">
        <x:v>23</x:v>
      </x:c>
      <x:c r="C6" s="5"/>
      <x:c r="D6" s="5"/>
      <x:c r="E6" s="5"/>
    </x:row>
    <x:row r="7" spans="1:5">
      <x:c r="A7" s="6" t="s">
        <x:v>24</x:v>
      </x:c>
      <x:c r="C7" s="5"/>
      <x:c r="D7" s="5"/>
      <x:c r="E7" s="5"/>
    </x:row>
    <x:row r="8" spans="1:5">
      <x:c r="A8" s="0" t="s">
        <x:v>25</x:v>
      </x:c>
      <x:c r="C8" s="5">
        <x:v>450000</x:v>
      </x:c>
      <x:c r="D8" s="5">
        <x:v>580000</x:v>
      </x:c>
      <x:c r="E8" s="5">
        <x:v>720000</x:v>
      </x:c>
    </x:row>
    <x:row r="9" spans="1:5">
      <x:c r="A9" s="0" t="s">
        <x:v>26</x:v>
      </x:c>
      <x:c r="C9" s="5">
        <x:v>1200000</x:v>
      </x:c>
      <x:c r="D9" s="5">
        <x:v>1450000</x:v>
      </x:c>
      <x:c r="E9" s="5">
        <x:v>1680000</x:v>
      </x:c>
    </x:row>
    <x:row r="10" spans="1:5">
      <x:c r="A10" s="0" t="s">
        <x:v>27</x:v>
      </x:c>
      <x:c r="C10" s="5">
        <x:v>800000</x:v>
      </x:c>
      <x:c r="D10" s="5">
        <x:v>950000</x:v>
      </x:c>
      <x:c r="E10" s="5">
        <x:v>1100000</x:v>
      </x:c>
    </x:row>
    <x:row r="11" spans="1:5">
      <x:c r="A11" s="0" t="s">
        <x:v>28</x:v>
      </x:c>
      <x:c r="C11" s="5">
        <x:v>50000</x:v>
      </x:c>
      <x:c r="D11" s="5">
        <x:v>60000</x:v>
      </x:c>
      <x:c r="E11" s="5">
        <x:v>70000</x:v>
      </x:c>
    </x:row>
    <x:row r="12" spans="1:5">
      <x:c r="A12" s="0" t="s">
        <x:v>29</x:v>
      </x:c>
      <x:c r="C12" s="5">
        <x:v>100000</x:v>
      </x:c>
      <x:c r="D12" s="5">
        <x:v>110000</x:v>
      </x:c>
      <x:c r="E12" s="5">
        <x:v>130000</x:v>
      </x:c>
    </x:row>
    <x:row r="13" spans="1:5">
      <x:c r="A13" s="0" t="s">
        <x:v>30</x:v>
      </x:c>
      <x:c r="C13" s="5">
        <x:f>SUM(C8:C12)</x:f>
      </x:c>
      <x:c r="D13" s="5">
        <x:f>SUM(D8:D12)</x:f>
      </x:c>
      <x:c r="E13" s="5">
        <x:f>SUM(E8:E12)</x:f>
      </x:c>
    </x:row>
    <x:row r="14" spans="1:5">
      <x:c r="C14" s="5"/>
      <x:c r="D14" s="5"/>
      <x:c r="E14" s="5"/>
    </x:row>
    <x:row r="15" spans="1:5">
      <x:c r="A15" s="6" t="s">
        <x:v>31</x:v>
      </x:c>
      <x:c r="C15" s="5"/>
      <x:c r="D15" s="5"/>
      <x:c r="E15" s="5"/>
    </x:row>
    <x:row r="16" spans="1:5">
      <x:c r="A16" s="0" t="s">
        <x:v>32</x:v>
      </x:c>
      <x:c r="C16" s="5">
        <x:v>2500000</x:v>
      </x:c>
      <x:c r="D16" s="5">
        <x:v>2800000</x:v>
      </x:c>
      <x:c r="E16" s="5">
        <x:v>3200000</x:v>
      </x:c>
    </x:row>
    <x:row r="17" spans="1:5">
      <x:c r="A17" s="0" t="s">
        <x:v>33</x:v>
      </x:c>
      <x:c r="C17" s="5">
        <x:v>150000</x:v>
      </x:c>
      <x:c r="D17" s="5">
        <x:v>180000</x:v>
      </x:c>
      <x:c r="E17" s="5">
        <x:v>200000</x:v>
      </x:c>
    </x:row>
    <x:row r="18" spans="1:5">
      <x:c r="A18" s="0" t="s">
        <x:v>34</x:v>
      </x:c>
      <x:c r="C18" s="5">
        <x:v>200000</x:v>
      </x:c>
      <x:c r="D18" s="5">
        <x:v>250000</x:v>
      </x:c>
      <x:c r="E18" s="5">
        <x:v>300000</x:v>
      </x:c>
    </x:row>
    <x:row r="19" spans="1:5">
      <x:c r="A19" s="0" t="s">
        <x:v>35</x:v>
      </x:c>
      <x:c r="C19" s="5">
        <x:v>50000</x:v>
      </x:c>
      <x:c r="D19" s="5">
        <x:v>70000</x:v>
      </x:c>
      <x:c r="E19" s="5">
        <x:v>80000</x:v>
      </x:c>
    </x:row>
    <x:row r="20" spans="1:5">
      <x:c r="A20" s="0" t="s">
        <x:v>36</x:v>
      </x:c>
      <x:c r="C20" s="5">
        <x:v>0</x:v>
      </x:c>
      <x:c r="D20" s="5">
        <x:v>0</x:v>
      </x:c>
      <x:c r="E20" s="5">
        <x:v>20000</x:v>
      </x:c>
    </x:row>
    <x:row r="21" spans="1:5">
      <x:c r="A21" s="0" t="s">
        <x:v>37</x:v>
      </x:c>
      <x:c r="C21" s="5">
        <x:f>SUM(C16:C20)</x:f>
      </x:c>
      <x:c r="D21" s="5">
        <x:f>SUM(D16:D20)</x:f>
      </x:c>
      <x:c r="E21" s="5">
        <x:f>SUM(E16:E20)</x:f>
      </x:c>
    </x:row>
    <x:row r="22" spans="1:5">
      <x:c r="C22" s="5"/>
      <x:c r="D22" s="5"/>
      <x:c r="E22" s="5"/>
    </x:row>
    <x:row r="23" spans="1:5">
      <x:c r="A23" s="2" t="s">
        <x:v>38</x:v>
      </x:c>
      <x:c r="C23" s="7">
        <x:f>C13+C21</x:f>
      </x:c>
      <x:c r="D23" s="7">
        <x:f>D13+D21</x:f>
      </x:c>
      <x:c r="E23" s="7">
        <x:f>E13+E21</x:f>
      </x:c>
    </x:row>
    <x:row r="24" spans="1:5">
      <x:c r="C24" s="5"/>
      <x:c r="D24" s="5"/>
      <x:c r="E24" s="5"/>
    </x:row>
    <x:row r="25" spans="1:5">
      <x:c r="C25" s="5"/>
      <x:c r="D25" s="5"/>
      <x:c r="E25" s="5"/>
    </x:row>
    <x:row r="26" spans="1:5">
      <x:c r="A26" s="2" t="s">
        <x:v>39</x:v>
      </x:c>
      <x:c r="C26" s="5"/>
      <x:c r="D26" s="5"/>
      <x:c r="E26" s="5"/>
    </x:row>
    <x:row r="27" spans="1:5">
      <x:c r="A27" s="6" t="s">
        <x:v>40</x:v>
      </x:c>
      <x:c r="C27" s="5"/>
      <x:c r="D27" s="5"/>
      <x:c r="E27" s="5"/>
    </x:row>
    <x:row r="28" spans="1:5">
      <x:c r="A28" s="0" t="s">
        <x:v>41</x:v>
      </x:c>
      <x:c r="C28" s="5">
        <x:v>600000</x:v>
      </x:c>
      <x:c r="D28" s="5">
        <x:v>720000</x:v>
      </x:c>
      <x:c r="E28" s="5">
        <x:v>850000</x:v>
      </x:c>
    </x:row>
    <x:row r="29" spans="1:5">
      <x:c r="A29" s="0" t="s">
        <x:v>42</x:v>
      </x:c>
      <x:c r="C29" s="5">
        <x:v>200000</x:v>
      </x:c>
      <x:c r="D29" s="5">
        <x:v>150000</x:v>
      </x:c>
      <x:c r="E29" s="5">
        <x:v>100000</x:v>
      </x:c>
    </x:row>
    <x:row r="30" spans="1:5">
      <x:c r="A30" s="0" t="s">
        <x:v>43</x:v>
      </x:c>
      <x:c r="C30" s="5">
        <x:v>150000</x:v>
      </x:c>
      <x:c r="D30" s="5">
        <x:v>200000</x:v>
      </x:c>
      <x:c r="E30" s="5">
        <x:v>200000</x:v>
      </x:c>
    </x:row>
    <x:row r="31" spans="1:5">
      <x:c r="A31" s="0" t="s">
        <x:v>44</x:v>
      </x:c>
      <x:c r="C31" s="5">
        <x:v>180000</x:v>
      </x:c>
      <x:c r="D31" s="5">
        <x:v>200000</x:v>
      </x:c>
      <x:c r="E31" s="5">
        <x:v>220000</x:v>
      </x:c>
    </x:row>
    <x:row r="32" spans="1:5">
      <x:c r="A32" s="0" t="s">
        <x:v>45</x:v>
      </x:c>
      <x:c r="C32" s="5">
        <x:v>120000</x:v>
      </x:c>
      <x:c r="D32" s="5">
        <x:v>180000</x:v>
      </x:c>
      <x:c r="E32" s="5">
        <x:v>250000</x:v>
      </x:c>
    </x:row>
    <x:row r="33" spans="1:5">
      <x:c r="A33" s="0" t="s">
        <x:v>46</x:v>
      </x:c>
      <x:c r="C33" s="5">
        <x:v>50000</x:v>
      </x:c>
      <x:c r="D33" s="5">
        <x:v>50000</x:v>
      </x:c>
      <x:c r="E33" s="5">
        <x:v>60000</x:v>
      </x:c>
    </x:row>
    <x:row r="34" spans="1:5">
      <x:c r="A34" s="0" t="s">
        <x:v>47</x:v>
      </x:c>
      <x:c r="C34" s="5">
        <x:f>SUM(C28:C33)</x:f>
      </x:c>
      <x:c r="D34" s="5">
        <x:f>SUM(D28:D33)</x:f>
      </x:c>
      <x:c r="E34" s="5">
        <x:f>SUM(E28:E33)</x:f>
      </x:c>
    </x:row>
    <x:row r="35" spans="1:5">
      <x:c r="C35" s="5"/>
      <x:c r="D35" s="5"/>
      <x:c r="E35" s="5"/>
    </x:row>
    <x:row r="36" spans="1:5">
      <x:c r="A36" s="6" t="s">
        <x:v>48</x:v>
      </x:c>
      <x:c r="C36" s="5"/>
      <x:c r="D36" s="5"/>
      <x:c r="E36" s="5"/>
    </x:row>
    <x:row r="37" spans="1:5">
      <x:c r="A37" s="0" t="s">
        <x:v>49</x:v>
      </x:c>
      <x:c r="C37" s="5">
        <x:v>1000000</x:v>
      </x:c>
      <x:c r="D37" s="5">
        <x:v>800000</x:v>
      </x:c>
      <x:c r="E37" s="5">
        <x:v>600000</x:v>
      </x:c>
    </x:row>
    <x:row r="38" spans="1:5">
      <x:c r="A38" s="0" t="s">
        <x:v>50</x:v>
      </x:c>
      <x:c r="C38" s="5">
        <x:v>80000</x:v>
      </x:c>
      <x:c r="D38" s="5">
        <x:v>100000</x:v>
      </x:c>
      <x:c r="E38" s="5">
        <x:v>120000</x:v>
      </x:c>
    </x:row>
    <x:row r="39" spans="1:5">
      <x:c r="A39" s="0" t="s">
        <x:v>51</x:v>
      </x:c>
      <x:c r="C39" s="5">
        <x:v>70000</x:v>
      </x:c>
      <x:c r="D39" s="5">
        <x:v>80000</x:v>
      </x:c>
      <x:c r="E39" s="5">
        <x:v>100000</x:v>
      </x:c>
    </x:row>
    <x:row r="40" spans="1:5">
      <x:c r="A40" s="0" t="s">
        <x:v>52</x:v>
      </x:c>
      <x:c r="C40" s="5">
        <x:v>0</x:v>
      </x:c>
      <x:c r="D40" s="5">
        <x:v>0</x:v>
      </x:c>
      <x:c r="E40" s="5">
        <x:v>0</x:v>
      </x:c>
    </x:row>
    <x:row r="41" spans="1:5">
      <x:c r="A41" s="0" t="s">
        <x:v>53</x:v>
      </x:c>
      <x:c r="C41" s="5">
        <x:f>SUM(C37:C40)</x:f>
      </x:c>
      <x:c r="D41" s="5">
        <x:f>SUM(D37:D40)</x:f>
      </x:c>
      <x:c r="E41" s="5">
        <x:f>SUM(E37:E40)</x:f>
      </x:c>
    </x:row>
    <x:row r="42" spans="1:5">
      <x:c r="C42" s="5"/>
      <x:c r="D42" s="5"/>
      <x:c r="E42" s="5"/>
    </x:row>
    <x:row r="43" spans="1:5">
      <x:c r="A43" s="2" t="s">
        <x:v>54</x:v>
      </x:c>
      <x:c r="C43" s="5">
        <x:f>C34+C41</x:f>
      </x:c>
      <x:c r="D43" s="5">
        <x:f>D34+D41</x:f>
      </x:c>
      <x:c r="E43" s="5">
        <x:f>E34+E41</x:f>
      </x:c>
    </x:row>
    <x:row r="44" spans="1:5">
      <x:c r="C44" s="5"/>
      <x:c r="D44" s="5"/>
      <x:c r="E44" s="5"/>
    </x:row>
    <x:row r="45" spans="1:5">
      <x:c r="C45" s="5"/>
      <x:c r="D45" s="5"/>
      <x:c r="E45" s="5"/>
    </x:row>
    <x:row r="46" spans="1:5">
      <x:c r="A46" s="2" t="s">
        <x:v>55</x:v>
      </x:c>
      <x:c r="C46" s="5"/>
      <x:c r="D46" s="5"/>
      <x:c r="E46" s="5"/>
    </x:row>
    <x:row r="47" spans="1:5">
      <x:c r="A47" s="0" t="s">
        <x:v>56</x:v>
      </x:c>
      <x:c r="C47" s="5">
        <x:v>500000</x:v>
      </x:c>
      <x:c r="D47" s="5">
        <x:v>500000</x:v>
      </x:c>
      <x:c r="E47" s="5">
        <x:v>500000</x:v>
      </x:c>
    </x:row>
    <x:row r="48" spans="1:5">
      <x:c r="A48" s="0" t="s">
        <x:v>57</x:v>
      </x:c>
      <x:c r="C48" s="5">
        <x:v>300000</x:v>
      </x:c>
      <x:c r="D48" s="5">
        <x:v>300000</x:v>
      </x:c>
      <x:c r="E48" s="5">
        <x:v>300000</x:v>
      </x:c>
    </x:row>
    <x:row r="49" spans="1:5">
      <x:c r="A49" s="0" t="s">
        <x:v>58</x:v>
      </x:c>
      <x:c r="C49" s="5">
        <x:v>2250000</x:v>
      </x:c>
      <x:c r="D49" s="5">
        <x:v>3170000</x:v>
      </x:c>
      <x:c r="E49" s="5">
        <x:v>4200000</x:v>
      </x:c>
    </x:row>
    <x:row r="50" spans="1:5">
      <x:c r="A50" s="0" t="s">
        <x:v>59</x:v>
      </x:c>
      <x:c r="C50" s="5">
        <x:v>0</x:v>
      </x:c>
      <x:c r="D50" s="5">
        <x:v>0</x:v>
      </x:c>
      <x:c r="E50" s="5">
        <x:v>0</x:v>
      </x:c>
    </x:row>
    <x:row r="51" spans="1:5">
      <x:c r="A51" s="2" t="s">
        <x:v>60</x:v>
      </x:c>
      <x:c r="C51" s="8">
        <x:f>SUM(C47:C50)</x:f>
      </x:c>
      <x:c r="D51" s="8">
        <x:f>SUM(D47:D50)</x:f>
      </x:c>
      <x:c r="E51" s="8">
        <x:f>SUM(E47:E50)</x:f>
      </x:c>
    </x:row>
    <x:row r="52" spans="1:5">
      <x:c r="C52" s="5"/>
      <x:c r="D52" s="5"/>
      <x:c r="E52" s="5"/>
    </x:row>
    <x:row r="53" spans="1:5">
      <x:c r="C53" s="5"/>
      <x:c r="D53" s="5"/>
      <x:c r="E53" s="5"/>
    </x:row>
    <x:row r="54" spans="1:5">
      <x:c r="A54" s="2" t="s">
        <x:v>61</x:v>
      </x:c>
      <x:c r="B54" s="2"/>
      <x:c r="C54" s="9">
        <x:f>C43+C51</x:f>
      </x:c>
      <x:c r="D54" s="9">
        <x:f>D43+D51</x:f>
      </x:c>
      <x:c r="E54" s="9">
        <x:f>E43+E51</x:f>
      </x:c>
    </x:row>
    <x:row r="55" spans="1:5">
      <x:c r="C55" s="5"/>
      <x:c r="D55" s="5"/>
      <x:c r="E55" s="5"/>
    </x:row>
    <x:row r="56" spans="1:5">
      <x:c r="A56" s="0" t="s">
        <x:v>62</x:v>
      </x:c>
      <x:c r="C56" s="5">
        <x:f>C23-C54</x:f>
      </x:c>
      <x:c r="D56" s="5">
        <x:f>D23-D54</x:f>
      </x:c>
      <x:c r="E56" s="5">
        <x:f>E23-E54</x:f>
      </x:c>
    </x:row>
    <x:row r="57" spans="1:5">
      <x:c r="C57" s="5"/>
      <x:c r="D57" s="5"/>
      <x:c r="E57" s="5"/>
    </x:row>
    <x:row r="58" spans="1:5">
      <x:c r="C58" s="5"/>
      <x:c r="D58" s="5"/>
      <x:c r="E58" s="5"/>
    </x:row>
    <x:row r="59" spans="1:5">
      <x:c r="C59" s="5"/>
      <x:c r="D59" s="5"/>
      <x:c r="E59" s="5"/>
    </x:row>
    <x:row r="60" spans="1:5">
      <x:c r="C60" s="5"/>
      <x:c r="D60" s="5"/>
      <x:c r="E60" s="5"/>
    </x:row>
    <x:row r="61" spans="1:5">
      <x:c r="C61" s="5"/>
      <x:c r="D61" s="5"/>
      <x:c r="E61" s="5"/>
    </x:row>
    <x:row r="62" spans="1:5">
      <x:c r="C62" s="5"/>
      <x:c r="D62" s="5"/>
      <x:c r="E62" s="5"/>
    </x:row>
    <x:row r="63" spans="1:5">
      <x:c r="C63" s="5"/>
      <x:c r="D63" s="5"/>
      <x:c r="E63" s="5"/>
    </x:row>
    <x:row r="64" spans="1:5">
      <x:c r="C64" s="5"/>
      <x:c r="D64" s="5"/>
      <x:c r="E64" s="5"/>
    </x:row>
    <x:row r="65" spans="1:5">
      <x:c r="C65" s="5"/>
      <x:c r="D65" s="5"/>
      <x:c r="E65" s="5"/>
    </x:row>
    <x:row r="66" spans="1:5">
      <x:c r="C66" s="5"/>
      <x:c r="D66" s="5"/>
      <x:c r="E66" s="5"/>
    </x:row>
    <x:row r="67" spans="1:5">
      <x:c r="C67" s="5"/>
      <x:c r="D67" s="5"/>
      <x:c r="E67" s="5"/>
    </x:row>
    <x:row r="68" spans="1:5">
      <x:c r="C68" s="5"/>
      <x:c r="D68" s="5"/>
      <x:c r="E68" s="5"/>
    </x:row>
    <x:row r="69" spans="1:5">
      <x:c r="C69" s="5"/>
      <x:c r="D69" s="5"/>
      <x:c r="E69" s="5"/>
    </x:row>
    <x:row r="70" spans="1:5">
      <x:c r="C70" s="5"/>
      <x:c r="D70" s="5"/>
      <x:c r="E70" s="5"/>
    </x:row>
    <x:row r="71" spans="1:5">
      <x:c r="C71" s="5"/>
      <x:c r="D71" s="5"/>
      <x:c r="E71" s="5"/>
    </x:row>
    <x:row r="72" spans="1:5">
      <x:c r="C72" s="5"/>
      <x:c r="D72" s="5"/>
      <x:c r="E72" s="5"/>
    </x:row>
    <x:row r="73" spans="1:5">
      <x:c r="C73" s="5"/>
      <x:c r="D73" s="5"/>
      <x:c r="E73" s="5"/>
    </x:row>
    <x:row r="74" spans="1:5">
      <x:c r="C74" s="5"/>
      <x:c r="D74" s="5"/>
      <x:c r="E74" s="5"/>
    </x:row>
    <x:row r="75" spans="1:5">
      <x:c r="C75" s="5"/>
      <x:c r="D75" s="5"/>
      <x:c r="E75" s="5"/>
    </x:row>
    <x:row r="76" spans="1:5">
      <x:c r="C76" s="5"/>
      <x:c r="D76" s="5"/>
      <x:c r="E76" s="5"/>
    </x:row>
    <x:row r="77" spans="1:5">
      <x:c r="C77" s="5"/>
      <x:c r="D77" s="5"/>
      <x:c r="E77" s="5"/>
    </x:row>
    <x:row r="78" spans="1:5">
      <x:c r="C78" s="5"/>
      <x:c r="D78" s="5"/>
      <x:c r="E78" s="5"/>
    </x:row>
    <x:row r="79" spans="1:5">
      <x:c r="C79" s="5"/>
      <x:c r="D79" s="5"/>
      <x:c r="E79" s="5"/>
    </x:row>
    <x:row r="80" spans="1:5">
      <x:c r="C80" s="5"/>
      <x:c r="D80" s="5"/>
      <x:c r="E80" s="5"/>
    </x:row>
    <x:row r="81" spans="1:5">
      <x:c r="C81" s="5"/>
      <x:c r="D81" s="5"/>
      <x:c r="E81" s="5"/>
    </x:row>
    <x:row r="82" spans="1:5">
      <x:c r="C82" s="5"/>
      <x:c r="D82" s="5"/>
      <x:c r="E82" s="5"/>
    </x:row>
    <x:row r="83" spans="1:5">
      <x:c r="C83" s="5"/>
      <x:c r="D83" s="5"/>
      <x:c r="E83" s="5"/>
    </x:row>
    <x:row r="84" spans="1:5">
      <x:c r="C84" s="5"/>
      <x:c r="D84" s="5"/>
      <x:c r="E84" s="5"/>
    </x:row>
    <x:row r="85" spans="1:5">
      <x:c r="C85" s="5"/>
      <x:c r="D85" s="5"/>
      <x:c r="E85" s="5"/>
    </x:row>
    <x:row r="86" spans="1:5">
      <x:c r="C86" s="5"/>
      <x:c r="D86" s="5"/>
      <x:c r="E86" s="5"/>
    </x:row>
    <x:row r="87" spans="1:5">
      <x:c r="C87" s="5"/>
      <x:c r="D87" s="5"/>
      <x:c r="E87" s="5"/>
    </x:row>
    <x:row r="88" spans="1:5">
      <x:c r="C88" s="5"/>
      <x:c r="D88" s="5"/>
      <x:c r="E88" s="5"/>
    </x:row>
    <x:row r="89" spans="1:5">
      <x:c r="C89" s="5"/>
      <x:c r="D89" s="5"/>
      <x:c r="E89" s="5"/>
    </x:row>
    <x:row r="90" spans="1:5">
      <x:c r="C90" s="5"/>
      <x:c r="D90" s="5"/>
      <x:c r="E90" s="5"/>
    </x:row>
    <x:row r="91" spans="1:5">
      <x:c r="C91" s="5"/>
      <x:c r="D91" s="5"/>
      <x:c r="E91" s="5"/>
    </x:row>
    <x:row r="92" spans="1:5">
      <x:c r="C92" s="5"/>
      <x:c r="D92" s="5"/>
      <x:c r="E92" s="5"/>
    </x:row>
    <x:row r="93" spans="1:5">
      <x:c r="C93" s="5"/>
      <x:c r="D93" s="5"/>
      <x:c r="E93" s="5"/>
    </x:row>
    <x:row r="94" spans="1:5">
      <x:c r="C94" s="5"/>
      <x:c r="D94" s="5"/>
      <x:c r="E94" s="5"/>
    </x:row>
    <x:row r="95" spans="1:5">
      <x:c r="C95" s="5"/>
      <x:c r="D95" s="5"/>
      <x:c r="E95" s="5"/>
    </x:row>
    <x:row r="96" spans="1:5">
      <x:c r="C96" s="5"/>
      <x:c r="D96" s="5"/>
      <x:c r="E96" s="5"/>
    </x:row>
    <x:row r="97" spans="1:5">
      <x:c r="C97" s="5"/>
      <x:c r="D97" s="5"/>
      <x:c r="E97" s="5"/>
    </x:row>
    <x:row r="98" spans="1:5">
      <x:c r="C98" s="5"/>
      <x:c r="D98" s="5"/>
      <x:c r="E98" s="5"/>
    </x:row>
    <x:row r="99" spans="1:5">
      <x:c r="C99" s="5"/>
      <x:c r="D99" s="5"/>
      <x:c r="E99" s="5"/>
    </x:row>
    <x:row r="100" spans="1:5">
      <x:c r="C100" s="5"/>
      <x:c r="D100" s="5"/>
      <x:c r="E100" s="5"/>
    </x:row>
  </x:sheetData>
  <x:mergeCells count="2">
    <x:mergeCell ref="A1:E1"/>
    <x:mergeCell ref="A2:E2"/>
  </x:mergeCells>
  <x:conditionalFormatting sqref="C56:E56">
    <x:cfRule type="cellIs" dxfId="0" priority="1" operator="notEqual">
      <x:formula>0</x:formula>
    </x:cfRule>
    <x:cfRule type="cellIs" dxfId="1" priority="2" operator="equal">
      <x:formula>0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0"/>
  <x:sheetViews>
    <x:sheetView workbookViewId="0"/>
  </x:sheetViews>
  <x:sheetFormatPr defaultRowHeight="15"/>
  <x:cols>
    <x:col min="1" max="1" width="35.710625" style="0" customWidth="1"/>
    <x:col min="2" max="2" width="5.710625" style="0" customWidth="1"/>
    <x:col min="3" max="5" width="15.710625" style="0" customWidth="1"/>
  </x:cols>
  <x:sheetData>
    <x:row r="1" spans="1:5">
      <x:c r="A1" s="3" t="s">
        <x:v>20</x:v>
      </x:c>
      <x:c r="B1" s="3"/>
      <x:c r="C1" s="3"/>
      <x:c r="D1" s="3"/>
      <x:c r="E1" s="3"/>
    </x:row>
    <x:row r="2" spans="1:5">
      <x:c r="A2" s="0" t="s">
        <x:v>18</x:v>
      </x:c>
    </x:row>
    <x:row r="3" spans="1:5">
      <x:c r="B3" s="4" t="s">
        <x:v>19</x:v>
      </x:c>
      <x:c r="C3" s="4">
        <x:v>2023</x:v>
      </x:c>
      <x:c r="D3" s="4">
        <x:v>2024</x:v>
      </x:c>
      <x:c r="E3" s="4">
        <x:v>2025</x:v>
      </x:c>
    </x:row>
    <x:row r="5" spans="1:5">
      <x:c r="A5" s="2" t="s">
        <x:v>64</x:v>
      </x:c>
      <x:c r="C5" s="5"/>
      <x:c r="D5" s="5"/>
      <x:c r="E5" s="5"/>
    </x:row>
    <x:row r="6" spans="1:5">
      <x:c r="A6" s="0" t="s">
        <x:v>65</x:v>
      </x:c>
      <x:c r="C6" s="5">
        <x:v>8500000</x:v>
      </x:c>
      <x:c r="D6" s="5">
        <x:v>10030000</x:v>
      </x:c>
      <x:c r="E6" s="5">
        <x:v>11535000</x:v>
      </x:c>
    </x:row>
    <x:row r="7" spans="1:5">
      <x:c r="A7" s="0" t="s">
        <x:v>66</x:v>
      </x:c>
      <x:c r="C7" s="5">
        <x:v>150000</x:v>
      </x:c>
      <x:c r="D7" s="5">
        <x:v>180000</x:v>
      </x:c>
      <x:c r="E7" s="5">
        <x:v>200000</x:v>
      </x:c>
    </x:row>
    <x:row r="8" spans="1:5">
      <x:c r="A8" s="2" t="s">
        <x:v>67</x:v>
      </x:c>
      <x:c r="C8" s="8">
        <x:f>SUM(C6:C7)</x:f>
      </x:c>
      <x:c r="D8" s="8">
        <x:f>SUM(D6:D7)</x:f>
      </x:c>
      <x:c r="E8" s="8">
        <x:f>SUM(E6:E7)</x:f>
      </x:c>
    </x:row>
    <x:row r="9" spans="1:5">
      <x:c r="C9" s="5"/>
      <x:c r="D9" s="5"/>
      <x:c r="E9" s="5"/>
    </x:row>
    <x:row r="10" spans="1:5">
      <x:c r="A10" s="0" t="s">
        <x:v>68</x:v>
      </x:c>
      <x:c r="C10" s="5">
        <x:v>5100000</x:v>
      </x:c>
      <x:c r="D10" s="5">
        <x:v>5920000</x:v>
      </x:c>
      <x:c r="E10" s="5">
        <x:v>6690000</x:v>
      </x:c>
    </x:row>
    <x:row r="11" spans="1:5">
      <x:c r="A11" s="2" t="s">
        <x:v>69</x:v>
      </x:c>
      <x:c r="C11" s="5">
        <x:f>C8-C10</x:f>
      </x:c>
      <x:c r="D11" s="5">
        <x:f>D8-D10</x:f>
      </x:c>
      <x:c r="E11" s="5">
        <x:f>E8-E10</x:f>
      </x:c>
    </x:row>
    <x:row r="12" spans="1:5">
      <x:c r="C12" s="5"/>
      <x:c r="D12" s="5"/>
      <x:c r="E12" s="5"/>
    </x:row>
    <x:row r="13" spans="1:5">
      <x:c r="A13" s="2" t="s">
        <x:v>70</x:v>
      </x:c>
      <x:c r="C13" s="5"/>
      <x:c r="D13" s="5"/>
      <x:c r="E13" s="5"/>
    </x:row>
    <x:row r="14" spans="1:5">
      <x:c r="A14" s="0" t="s">
        <x:v>71</x:v>
      </x:c>
      <x:c r="C14" s="5">
        <x:v>850000</x:v>
      </x:c>
      <x:c r="D14" s="5">
        <x:v>950000</x:v>
      </x:c>
      <x:c r="E14" s="5">
        <x:v>1050000</x:v>
      </x:c>
    </x:row>
    <x:row r="15" spans="1:5">
      <x:c r="A15" s="0" t="s">
        <x:v>72</x:v>
      </x:c>
      <x:c r="C15" s="5">
        <x:v>680000</x:v>
      </x:c>
      <x:c r="D15" s="5">
        <x:v>750000</x:v>
      </x:c>
      <x:c r="E15" s="5">
        <x:v>820000</x:v>
      </x:c>
    </x:row>
    <x:row r="16" spans="1:5">
      <x:c r="A16" s="0" t="s">
        <x:v>73</x:v>
      </x:c>
      <x:c r="C16" s="5">
        <x:v>320000</x:v>
      </x:c>
      <x:c r="D16" s="5">
        <x:v>380000</x:v>
      </x:c>
      <x:c r="E16" s="5">
        <x:v>420000</x:v>
      </x:c>
    </x:row>
    <x:row r="17" spans="1:5">
      <x:c r="A17" s="0" t="s">
        <x:v>74</x:v>
      </x:c>
      <x:c r="C17" s="5">
        <x:v>150000</x:v>
      </x:c>
      <x:c r="D17" s="5">
        <x:v>160000</x:v>
      </x:c>
      <x:c r="E17" s="5">
        <x:v>175000</x:v>
      </x:c>
    </x:row>
    <x:row r="18" spans="1:5">
      <x:c r="A18" s="0" t="s">
        <x:v>75</x:v>
      </x:c>
      <x:c r="C18" s="5">
        <x:f>SUM(C14:C17)</x:f>
      </x:c>
      <x:c r="D18" s="5">
        <x:f>SUM(D14:D17)</x:f>
      </x:c>
      <x:c r="E18" s="5">
        <x:f>SUM(E14:E17)</x:f>
      </x:c>
    </x:row>
    <x:row r="19" spans="1:5">
      <x:c r="C19" s="5"/>
      <x:c r="D19" s="5"/>
      <x:c r="E19" s="5"/>
    </x:row>
    <x:row r="20" spans="1:5">
      <x:c r="A20" s="2" t="s">
        <x:v>76</x:v>
      </x:c>
      <x:c r="C20" s="5">
        <x:f>C11-C18</x:f>
      </x:c>
      <x:c r="D20" s="5">
        <x:f>D11-D18</x:f>
      </x:c>
      <x:c r="E20" s="5">
        <x:f>E11-E18</x:f>
      </x:c>
    </x:row>
    <x:row r="21" spans="1:5">
      <x:c r="A21" s="10" t="s">
        <x:v>77</x:v>
      </x:c>
      <x:c r="C21" s="5">
        <x:f>C20+C16</x:f>
      </x:c>
      <x:c r="D21" s="5">
        <x:f>D20+D16</x:f>
      </x:c>
      <x:c r="E21" s="5">
        <x:f>E20+E16</x:f>
      </x:c>
    </x:row>
    <x:row r="22" spans="1:5">
      <x:c r="C22" s="5"/>
      <x:c r="D22" s="5"/>
      <x:c r="E22" s="5"/>
    </x:row>
    <x:row r="23" spans="1:5">
      <x:c r="A23" s="2" t="s">
        <x:v>78</x:v>
      </x:c>
      <x:c r="C23" s="5"/>
      <x:c r="D23" s="5"/>
      <x:c r="E23" s="5"/>
    </x:row>
    <x:row r="24" spans="1:5">
      <x:c r="A24" s="0" t="s">
        <x:v>79</x:v>
      </x:c>
      <x:c r="C24" s="5">
        <x:v>25000</x:v>
      </x:c>
      <x:c r="D24" s="5">
        <x:v>35000</x:v>
      </x:c>
      <x:c r="E24" s="5">
        <x:v>45000</x:v>
      </x:c>
    </x:row>
    <x:row r="25" spans="1:5">
      <x:c r="A25" s="0" t="s">
        <x:v>80</x:v>
      </x:c>
      <x:c r="C25" s="5">
        <x:v>180000</x:v>
      </x:c>
      <x:c r="D25" s="5">
        <x:v>150000</x:v>
      </x:c>
      <x:c r="E25" s="5">
        <x:v>120000</x:v>
      </x:c>
    </x:row>
    <x:row r="26" spans="1:5">
      <x:c r="A26" s="0" t="s">
        <x:v>81</x:v>
      </x:c>
      <x:c r="C26" s="5">
        <x:v>20000</x:v>
      </x:c>
      <x:c r="D26" s="5">
        <x:v>15000</x:v>
      </x:c>
      <x:c r="E26" s="5">
        <x:v>10000</x:v>
      </x:c>
    </x:row>
    <x:row r="27" spans="1:5">
      <x:c r="A27" s="0" t="s">
        <x:v>82</x:v>
      </x:c>
      <x:c r="C27" s="5">
        <x:f>C25+C26-C24</x:f>
      </x:c>
      <x:c r="D27" s="5">
        <x:f>D25+D26-D24</x:f>
      </x:c>
      <x:c r="E27" s="5">
        <x:f>E25+E26-E24</x:f>
      </x:c>
    </x:row>
    <x:row r="28" spans="1:5">
      <x:c r="C28" s="5"/>
      <x:c r="D28" s="5"/>
      <x:c r="E28" s="5"/>
    </x:row>
    <x:row r="29" spans="1:5">
      <x:c r="A29" s="2" t="s">
        <x:v>83</x:v>
      </x:c>
      <x:c r="C29" s="5">
        <x:f>C20-C27</x:f>
      </x:c>
      <x:c r="D29" s="5">
        <x:f>D20-D27</x:f>
      </x:c>
      <x:c r="E29" s="5">
        <x:f>E20-E27</x:f>
      </x:c>
    </x:row>
    <x:row r="30" spans="1:5">
      <x:c r="A30" s="0" t="s">
        <x:v>84</x:v>
      </x:c>
      <x:c r="C30" s="5">
        <x:v>455000</x:v>
      </x:c>
      <x:c r="D30" s="5">
        <x:v>500000</x:v>
      </x:c>
      <x:c r="E30" s="5">
        <x:v>965000</x:v>
      </x:c>
    </x:row>
    <x:row r="31" spans="1:5">
      <x:c r="C31" s="5"/>
      <x:c r="D31" s="5"/>
      <x:c r="E31" s="5"/>
    </x:row>
    <x:row r="32" spans="1:5">
      <x:c r="A32" s="2" t="s">
        <x:v>85</x:v>
      </x:c>
      <x:c r="C32" s="11">
        <x:f>C29-C30</x:f>
      </x:c>
      <x:c r="D32" s="11">
        <x:f>D29-D30</x:f>
      </x:c>
      <x:c r="E32" s="11">
        <x:f>E29-E30</x:f>
      </x:c>
    </x:row>
    <x:row r="33" spans="1:5">
      <x:c r="A33" s="0" t="s">
        <x:v>86</x:v>
      </x:c>
      <x:c r="C33" s="5">
        <x:v>350000</x:v>
      </x:c>
      <x:c r="D33" s="5">
        <x:v>500000</x:v>
      </x:c>
      <x:c r="E33" s="5">
        <x:v>500000</x:v>
      </x:c>
    </x:row>
    <x:row r="34" spans="1:5">
      <x:c r="C34" s="5"/>
      <x:c r="D34" s="5"/>
      <x:c r="E34" s="5"/>
    </x:row>
    <x:row r="35" spans="1:5">
      <x:c r="C35" s="5"/>
      <x:c r="D35" s="5"/>
      <x:c r="E35" s="5"/>
    </x:row>
    <x:row r="36" spans="1:5">
      <x:c r="C36" s="5"/>
      <x:c r="D36" s="5"/>
      <x:c r="E36" s="5"/>
    </x:row>
    <x:row r="37" spans="1:5">
      <x:c r="C37" s="5"/>
      <x:c r="D37" s="5"/>
      <x:c r="E37" s="5"/>
    </x:row>
    <x:row r="38" spans="1:5">
      <x:c r="C38" s="5"/>
      <x:c r="D38" s="5"/>
      <x:c r="E38" s="5"/>
    </x:row>
    <x:row r="39" spans="1:5">
      <x:c r="C39" s="5"/>
      <x:c r="D39" s="5"/>
      <x:c r="E39" s="5"/>
    </x:row>
    <x:row r="40" spans="1:5">
      <x:c r="C40" s="5"/>
      <x:c r="D40" s="5"/>
      <x:c r="E40" s="5"/>
    </x:row>
    <x:row r="41" spans="1:5">
      <x:c r="C41" s="5"/>
      <x:c r="D41" s="5"/>
      <x:c r="E41" s="5"/>
    </x:row>
    <x:row r="42" spans="1:5">
      <x:c r="C42" s="5"/>
      <x:c r="D42" s="5"/>
      <x:c r="E42" s="5"/>
    </x:row>
    <x:row r="43" spans="1:5">
      <x:c r="C43" s="5"/>
      <x:c r="D43" s="5"/>
      <x:c r="E43" s="5"/>
    </x:row>
    <x:row r="44" spans="1:5">
      <x:c r="C44" s="5"/>
      <x:c r="D44" s="5"/>
      <x:c r="E44" s="5"/>
    </x:row>
    <x:row r="45" spans="1:5">
      <x:c r="C45" s="5"/>
      <x:c r="D45" s="5"/>
      <x:c r="E45" s="5"/>
    </x:row>
    <x:row r="46" spans="1:5">
      <x:c r="C46" s="5"/>
      <x:c r="D46" s="5"/>
      <x:c r="E46" s="5"/>
    </x:row>
    <x:row r="47" spans="1:5">
      <x:c r="C47" s="5"/>
      <x:c r="D47" s="5"/>
      <x:c r="E47" s="5"/>
    </x:row>
    <x:row r="48" spans="1:5">
      <x:c r="C48" s="5"/>
      <x:c r="D48" s="5"/>
      <x:c r="E48" s="5"/>
    </x:row>
    <x:row r="49" spans="1:5">
      <x:c r="C49" s="5"/>
      <x:c r="D49" s="5"/>
      <x:c r="E49" s="5"/>
    </x:row>
    <x:row r="50" spans="1:5">
      <x:c r="C50" s="5"/>
      <x:c r="D50" s="5"/>
      <x:c r="E50" s="5"/>
    </x:row>
    <x:row r="51" spans="1:5">
      <x:c r="C51" s="5"/>
      <x:c r="D51" s="5"/>
      <x:c r="E51" s="5"/>
    </x:row>
    <x:row r="52" spans="1:5">
      <x:c r="C52" s="5"/>
      <x:c r="D52" s="5"/>
      <x:c r="E52" s="5"/>
    </x:row>
    <x:row r="53" spans="1:5">
      <x:c r="C53" s="5"/>
      <x:c r="D53" s="5"/>
      <x:c r="E53" s="5"/>
    </x:row>
    <x:row r="54" spans="1:5">
      <x:c r="C54" s="5"/>
      <x:c r="D54" s="5"/>
      <x:c r="E54" s="5"/>
    </x:row>
    <x:row r="55" spans="1:5">
      <x:c r="C55" s="5"/>
      <x:c r="D55" s="5"/>
      <x:c r="E55" s="5"/>
    </x:row>
    <x:row r="56" spans="1:5">
      <x:c r="C56" s="5"/>
      <x:c r="D56" s="5"/>
      <x:c r="E56" s="5"/>
    </x:row>
    <x:row r="57" spans="1:5">
      <x:c r="C57" s="5"/>
      <x:c r="D57" s="5"/>
      <x:c r="E57" s="5"/>
    </x:row>
    <x:row r="58" spans="1:5">
      <x:c r="C58" s="5"/>
      <x:c r="D58" s="5"/>
      <x:c r="E58" s="5"/>
    </x:row>
    <x:row r="59" spans="1:5">
      <x:c r="C59" s="5"/>
      <x:c r="D59" s="5"/>
      <x:c r="E59" s="5"/>
    </x:row>
    <x:row r="60" spans="1:5">
      <x:c r="C60" s="5"/>
      <x:c r="D60" s="5"/>
      <x:c r="E60" s="5"/>
    </x:row>
    <x:row r="61" spans="1:5">
      <x:c r="C61" s="5"/>
      <x:c r="D61" s="5"/>
      <x:c r="E61" s="5"/>
    </x:row>
    <x:row r="62" spans="1:5">
      <x:c r="C62" s="5"/>
      <x:c r="D62" s="5"/>
      <x:c r="E62" s="5"/>
    </x:row>
    <x:row r="63" spans="1:5">
      <x:c r="C63" s="5"/>
      <x:c r="D63" s="5"/>
      <x:c r="E63" s="5"/>
    </x:row>
    <x:row r="64" spans="1:5">
      <x:c r="C64" s="5"/>
      <x:c r="D64" s="5"/>
      <x:c r="E64" s="5"/>
    </x:row>
    <x:row r="65" spans="1:5">
      <x:c r="C65" s="5"/>
      <x:c r="D65" s="5"/>
      <x:c r="E65" s="5"/>
    </x:row>
    <x:row r="66" spans="1:5">
      <x:c r="C66" s="5"/>
      <x:c r="D66" s="5"/>
      <x:c r="E66" s="5"/>
    </x:row>
    <x:row r="67" spans="1:5">
      <x:c r="C67" s="5"/>
      <x:c r="D67" s="5"/>
      <x:c r="E67" s="5"/>
    </x:row>
    <x:row r="68" spans="1:5">
      <x:c r="C68" s="5"/>
      <x:c r="D68" s="5"/>
      <x:c r="E68" s="5"/>
    </x:row>
    <x:row r="69" spans="1:5">
      <x:c r="C69" s="5"/>
      <x:c r="D69" s="5"/>
      <x:c r="E69" s="5"/>
    </x:row>
    <x:row r="70" spans="1:5">
      <x:c r="C70" s="5"/>
      <x:c r="D70" s="5"/>
      <x:c r="E70" s="5"/>
    </x:row>
    <x:row r="71" spans="1:5">
      <x:c r="C71" s="5"/>
      <x:c r="D71" s="5"/>
      <x:c r="E71" s="5"/>
    </x:row>
    <x:row r="72" spans="1:5">
      <x:c r="C72" s="5"/>
      <x:c r="D72" s="5"/>
      <x:c r="E72" s="5"/>
    </x:row>
    <x:row r="73" spans="1:5">
      <x:c r="C73" s="5"/>
      <x:c r="D73" s="5"/>
      <x:c r="E73" s="5"/>
    </x:row>
    <x:row r="74" spans="1:5">
      <x:c r="C74" s="5"/>
      <x:c r="D74" s="5"/>
      <x:c r="E74" s="5"/>
    </x:row>
    <x:row r="75" spans="1:5">
      <x:c r="C75" s="5"/>
      <x:c r="D75" s="5"/>
      <x:c r="E75" s="5"/>
    </x:row>
    <x:row r="76" spans="1:5">
      <x:c r="C76" s="5"/>
      <x:c r="D76" s="5"/>
      <x:c r="E76" s="5"/>
    </x:row>
    <x:row r="77" spans="1:5">
      <x:c r="C77" s="5"/>
      <x:c r="D77" s="5"/>
      <x:c r="E77" s="5"/>
    </x:row>
    <x:row r="78" spans="1:5">
      <x:c r="C78" s="5"/>
      <x:c r="D78" s="5"/>
      <x:c r="E78" s="5"/>
    </x:row>
    <x:row r="79" spans="1:5">
      <x:c r="C79" s="5"/>
      <x:c r="D79" s="5"/>
      <x:c r="E79" s="5"/>
    </x:row>
    <x:row r="80" spans="1:5">
      <x:c r="C80" s="5"/>
      <x:c r="D80" s="5"/>
      <x:c r="E80" s="5"/>
    </x:row>
    <x:row r="81" spans="1:5">
      <x:c r="C81" s="5"/>
      <x:c r="D81" s="5"/>
      <x:c r="E81" s="5"/>
    </x:row>
    <x:row r="82" spans="1:5">
      <x:c r="C82" s="5"/>
      <x:c r="D82" s="5"/>
      <x:c r="E82" s="5"/>
    </x:row>
    <x:row r="83" spans="1:5">
      <x:c r="C83" s="5"/>
      <x:c r="D83" s="5"/>
      <x:c r="E83" s="5"/>
    </x:row>
    <x:row r="84" spans="1:5">
      <x:c r="C84" s="5"/>
      <x:c r="D84" s="5"/>
      <x:c r="E84" s="5"/>
    </x:row>
    <x:row r="85" spans="1:5">
      <x:c r="C85" s="5"/>
      <x:c r="D85" s="5"/>
      <x:c r="E85" s="5"/>
    </x:row>
    <x:row r="86" spans="1:5">
      <x:c r="C86" s="5"/>
      <x:c r="D86" s="5"/>
      <x:c r="E86" s="5"/>
    </x:row>
    <x:row r="87" spans="1:5">
      <x:c r="C87" s="5"/>
      <x:c r="D87" s="5"/>
      <x:c r="E87" s="5"/>
    </x:row>
    <x:row r="88" spans="1:5">
      <x:c r="C88" s="5"/>
      <x:c r="D88" s="5"/>
      <x:c r="E88" s="5"/>
    </x:row>
    <x:row r="89" spans="1:5">
      <x:c r="C89" s="5"/>
      <x:c r="D89" s="5"/>
      <x:c r="E89" s="5"/>
    </x:row>
    <x:row r="90" spans="1:5">
      <x:c r="C90" s="5"/>
      <x:c r="D90" s="5"/>
      <x:c r="E90" s="5"/>
    </x:row>
    <x:row r="91" spans="1:5">
      <x:c r="C91" s="5"/>
      <x:c r="D91" s="5"/>
      <x:c r="E91" s="5"/>
    </x:row>
    <x:row r="92" spans="1:5">
      <x:c r="C92" s="5"/>
      <x:c r="D92" s="5"/>
      <x:c r="E92" s="5"/>
    </x:row>
    <x:row r="93" spans="1:5">
      <x:c r="C93" s="5"/>
      <x:c r="D93" s="5"/>
      <x:c r="E93" s="5"/>
    </x:row>
    <x:row r="94" spans="1:5">
      <x:c r="C94" s="5"/>
      <x:c r="D94" s="5"/>
      <x:c r="E94" s="5"/>
    </x:row>
    <x:row r="95" spans="1:5">
      <x:c r="C95" s="5"/>
      <x:c r="D95" s="5"/>
      <x:c r="E95" s="5"/>
    </x:row>
    <x:row r="96" spans="1:5">
      <x:c r="C96" s="5"/>
      <x:c r="D96" s="5"/>
      <x:c r="E96" s="5"/>
    </x:row>
    <x:row r="97" spans="1:5">
      <x:c r="C97" s="5"/>
      <x:c r="D97" s="5"/>
      <x:c r="E97" s="5"/>
    </x:row>
    <x:row r="98" spans="1:5">
      <x:c r="C98" s="5"/>
      <x:c r="D98" s="5"/>
      <x:c r="E98" s="5"/>
    </x:row>
    <x:row r="99" spans="1:5">
      <x:c r="C99" s="5"/>
      <x:c r="D99" s="5"/>
      <x:c r="E99" s="5"/>
    </x:row>
    <x:row r="100" spans="1:5">
      <x:c r="C100" s="5"/>
      <x:c r="D100" s="5"/>
      <x:c r="E100" s="5"/>
    </x:row>
  </x:sheetData>
  <x:mergeCells count="2">
    <x:mergeCell ref="A1:E1"/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0"/>
  <x:sheetViews>
    <x:sheetView workbookViewId="0"/>
  </x:sheetViews>
  <x:sheetFormatPr defaultRowHeight="15"/>
  <x:cols>
    <x:col min="1" max="1" width="40.710625" style="0" customWidth="1"/>
    <x:col min="2" max="2" width="5.710625" style="0" customWidth="1"/>
    <x:col min="3" max="5" width="15.710625" style="0" customWidth="1"/>
  </x:cols>
  <x:sheetData>
    <x:row r="1" spans="1:5">
      <x:c r="A1" s="3" t="s">
        <x:v>63</x:v>
      </x:c>
      <x:c r="B1" s="3"/>
      <x:c r="C1" s="3"/>
      <x:c r="D1" s="3"/>
      <x:c r="E1" s="3"/>
    </x:row>
    <x:row r="2" spans="1:5">
      <x:c r="A2" s="0" t="s">
        <x:v>18</x:v>
      </x:c>
    </x:row>
    <x:row r="3" spans="1:5">
      <x:c r="B3" s="4" t="s">
        <x:v>19</x:v>
      </x:c>
      <x:c r="C3" s="4">
        <x:v>2023</x:v>
      </x:c>
      <x:c r="D3" s="4">
        <x:v>2024</x:v>
      </x:c>
      <x:c r="E3" s="4">
        <x:v>2025</x:v>
      </x:c>
    </x:row>
    <x:row r="5" spans="1:5">
      <x:c r="A5" s="2" t="s">
        <x:v>87</x:v>
      </x:c>
      <x:c r="C5" s="5"/>
      <x:c r="D5" s="5"/>
      <x:c r="E5" s="5"/>
    </x:row>
    <x:row r="6" spans="1:5">
      <x:c r="A6" s="0" t="s">
        <x:v>88</x:v>
      </x:c>
      <x:c r="C6" s="5">
        <x:v>1375000</x:v>
      </x:c>
      <x:c r="D6" s="5">
        <x:v>1920000</x:v>
      </x:c>
      <x:c r="E6" s="5">
        <x:v>2495000</x:v>
      </x:c>
    </x:row>
    <x:row r="7" spans="1:5">
      <x:c r="A7" s="0" t="s">
        <x:v>73</x:v>
      </x:c>
      <x:c r="C7" s="5">
        <x:v>320000</x:v>
      </x:c>
      <x:c r="D7" s="5">
        <x:v>380000</x:v>
      </x:c>
      <x:c r="E7" s="5">
        <x:v>420000</x:v>
      </x:c>
    </x:row>
    <x:row r="8" spans="1:5">
      <x:c r="A8" s="0" t="s">
        <x:v>89</x:v>
      </x:c>
      <x:c r="C8" s="5">
        <x:v>155000</x:v>
      </x:c>
      <x:c r="D8" s="5">
        <x:v>115000</x:v>
      </x:c>
      <x:c r="E8" s="5">
        <x:v>75000</x:v>
      </x:c>
    </x:row>
    <x:row r="9" spans="1:5">
      <x:c r="A9" s="0" t="s">
        <x:v>90</x:v>
      </x:c>
      <x:c r="C9" s="5">
        <x:v>-245000</x:v>
      </x:c>
      <x:c r="D9" s="5">
        <x:v>-280000</x:v>
      </x:c>
      <x:c r="E9" s="5">
        <x:v>-320000</x:v>
      </x:c>
    </x:row>
    <x:row r="10" spans="1:5">
      <x:c r="A10" s="0" t="s">
        <x:v>91</x:v>
      </x:c>
      <x:c r="C10" s="5">
        <x:v>-455000</x:v>
      </x:c>
      <x:c r="D10" s="5">
        <x:v>-500000</x:v>
      </x:c>
      <x:c r="E10" s="5">
        <x:v>-965000</x:v>
      </x:c>
    </x:row>
    <x:row r="11" spans="1:5">
      <x:c r="A11" s="0" t="s">
        <x:v>92</x:v>
      </x:c>
      <x:c r="C11" s="5">
        <x:v>0</x:v>
      </x:c>
      <x:c r="D11" s="5">
        <x:v>0</x:v>
      </x:c>
      <x:c r="E11" s="5">
        <x:v>0</x:v>
      </x:c>
    </x:row>
    <x:row r="12" spans="1:5">
      <x:c r="A12" s="2" t="s">
        <x:v>93</x:v>
      </x:c>
      <x:c r="C12" s="5">
        <x:f>SUM(C6:C11)</x:f>
      </x:c>
      <x:c r="D12" s="5">
        <x:f>SUM(D6:D11)</x:f>
      </x:c>
      <x:c r="E12" s="5">
        <x:f>SUM(E6:E11)</x:f>
      </x:c>
    </x:row>
    <x:row r="13" spans="1:5">
      <x:c r="C13" s="5"/>
      <x:c r="D13" s="5"/>
      <x:c r="E13" s="5"/>
    </x:row>
    <x:row r="14" spans="1:5">
      <x:c r="A14" s="2" t="s">
        <x:v>94</x:v>
      </x:c>
      <x:c r="C14" s="5"/>
      <x:c r="D14" s="5"/>
      <x:c r="E14" s="5"/>
    </x:row>
    <x:row r="15" spans="1:5">
      <x:c r="A15" s="0" t="s">
        <x:v>95</x:v>
      </x:c>
      <x:c r="C15" s="5">
        <x:v>-500000</x:v>
      </x:c>
      <x:c r="D15" s="5">
        <x:v>-680000</x:v>
      </x:c>
      <x:c r="E15" s="5">
        <x:v>-820000</x:v>
      </x:c>
    </x:row>
    <x:row r="16" spans="1:5">
      <x:c r="A16" s="0" t="s">
        <x:v>96</x:v>
      </x:c>
      <x:c r="C16" s="5">
        <x:v>50000</x:v>
      </x:c>
      <x:c r="D16" s="5">
        <x:v>0</x:v>
      </x:c>
      <x:c r="E16" s="5">
        <x:v>0</x:v>
      </x:c>
    </x:row>
    <x:row r="17" spans="1:5">
      <x:c r="A17" s="0" t="s">
        <x:v>97</x:v>
      </x:c>
      <x:c r="C17" s="5">
        <x:v>-100000</x:v>
      </x:c>
      <x:c r="D17" s="5">
        <x:v>-50000</x:v>
      </x:c>
      <x:c r="E17" s="5">
        <x:v>-70000</x:v>
      </x:c>
    </x:row>
    <x:row r="18" spans="1:5">
      <x:c r="A18" s="0" t="s">
        <x:v>98</x:v>
      </x:c>
      <x:c r="C18" s="5">
        <x:v>0</x:v>
      </x:c>
      <x:c r="D18" s="5">
        <x:v>0</x:v>
      </x:c>
      <x:c r="E18" s="5">
        <x:v>0</x:v>
      </x:c>
    </x:row>
    <x:row r="19" spans="1:5">
      <x:c r="A19" s="0" t="s">
        <x:v>99</x:v>
      </x:c>
      <x:c r="C19" s="5">
        <x:v>25000</x:v>
      </x:c>
      <x:c r="D19" s="5">
        <x:v>35000</x:v>
      </x:c>
      <x:c r="E19" s="5">
        <x:v>45000</x:v>
      </x:c>
    </x:row>
    <x:row r="20" spans="1:5">
      <x:c r="A20" s="0" t="s">
        <x:v>100</x:v>
      </x:c>
      <x:c r="C20" s="5">
        <x:v>0</x:v>
      </x:c>
      <x:c r="D20" s="5">
        <x:v>0</x:v>
      </x:c>
      <x:c r="E20" s="5">
        <x:v>0</x:v>
      </x:c>
    </x:row>
    <x:row r="21" spans="1:5">
      <x:c r="A21" s="0" t="s">
        <x:v>101</x:v>
      </x:c>
      <x:c r="C21" s="5">
        <x:v>0</x:v>
      </x:c>
      <x:c r="D21" s="5">
        <x:v>0</x:v>
      </x:c>
      <x:c r="E21" s="5">
        <x:v>0</x:v>
      </x:c>
    </x:row>
    <x:row r="22" spans="1:5">
      <x:c r="A22" s="2" t="s">
        <x:v>102</x:v>
      </x:c>
      <x:c r="C22" s="8">
        <x:f>SUM(C15:C21)</x:f>
      </x:c>
      <x:c r="D22" s="8">
        <x:f>SUM(D15:D21)</x:f>
      </x:c>
      <x:c r="E22" s="8">
        <x:f>SUM(E15:E21)</x:f>
      </x:c>
    </x:row>
    <x:row r="23" spans="1:5">
      <x:c r="C23" s="5"/>
      <x:c r="D23" s="5"/>
      <x:c r="E23" s="5"/>
    </x:row>
    <x:row r="24" spans="1:5">
      <x:c r="A24" s="2" t="s">
        <x:v>103</x:v>
      </x:c>
      <x:c r="C24" s="5"/>
      <x:c r="D24" s="5"/>
      <x:c r="E24" s="5"/>
    </x:row>
    <x:row r="25" spans="1:5">
      <x:c r="A25" s="0" t="s">
        <x:v>104</x:v>
      </x:c>
      <x:c r="C25" s="5">
        <x:v>200000</x:v>
      </x:c>
      <x:c r="D25" s="5">
        <x:v>0</x:v>
      </x:c>
      <x:c r="E25" s="5">
        <x:v>0</x:v>
      </x:c>
    </x:row>
    <x:row r="26" spans="1:5">
      <x:c r="A26" s="0" t="s">
        <x:v>105</x:v>
      </x:c>
      <x:c r="C26" s="5">
        <x:v>-250000</x:v>
      </x:c>
      <x:c r="D26" s="5">
        <x:v>-200000</x:v>
      </x:c>
      <x:c r="E26" s="5">
        <x:v>-200000</x:v>
      </x:c>
    </x:row>
    <x:row r="27" spans="1:5">
      <x:c r="A27" s="0" t="s">
        <x:v>106</x:v>
      </x:c>
      <x:c r="C27" s="5">
        <x:v>-180000</x:v>
      </x:c>
      <x:c r="D27" s="5">
        <x:v>-150000</x:v>
      </x:c>
      <x:c r="E27" s="5">
        <x:v>-120000</x:v>
      </x:c>
    </x:row>
    <x:row r="28" spans="1:5">
      <x:c r="A28" s="0" t="s">
        <x:v>107</x:v>
      </x:c>
      <x:c r="C28" s="5">
        <x:v>-200000</x:v>
      </x:c>
      <x:c r="D28" s="5">
        <x:v>-350000</x:v>
      </x:c>
      <x:c r="E28" s="5">
        <x:v>-500000</x:v>
      </x:c>
    </x:row>
    <x:row r="29" spans="1:5">
      <x:c r="A29" s="0" t="s">
        <x:v>108</x:v>
      </x:c>
      <x:c r="C29" s="5">
        <x:v>0</x:v>
      </x:c>
      <x:c r="D29" s="5">
        <x:v>0</x:v>
      </x:c>
      <x:c r="E29" s="5">
        <x:v>0</x:v>
      </x:c>
    </x:row>
    <x:row r="30" spans="1:5">
      <x:c r="A30" s="0" t="s">
        <x:v>109</x:v>
      </x:c>
      <x:c r="C30" s="5">
        <x:v>-45000</x:v>
      </x:c>
      <x:c r="D30" s="5">
        <x:v>-110000</x:v>
      </x:c>
      <x:c r="E30" s="5">
        <x:v>100000</x:v>
      </x:c>
    </x:row>
    <x:row r="31" spans="1:5">
      <x:c r="A31" s="2" t="s">
        <x:v>110</x:v>
      </x:c>
      <x:c r="C31" s="8">
        <x:f>SUM(C25:C30)</x:f>
      </x:c>
      <x:c r="D31" s="8">
        <x:f>SUM(D25:D30)</x:f>
      </x:c>
      <x:c r="E31" s="8">
        <x:f>SUM(E25:E30)</x:f>
      </x:c>
    </x:row>
    <x:row r="32" spans="1:5">
      <x:c r="C32" s="5"/>
      <x:c r="D32" s="5"/>
      <x:c r="E32" s="5"/>
    </x:row>
    <x:row r="33" spans="1:5">
      <x:c r="A33" s="2" t="s">
        <x:v>111</x:v>
      </x:c>
      <x:c r="C33" s="5">
        <x:f>C12+C22+C31</x:f>
      </x:c>
      <x:c r="D33" s="5">
        <x:f>D12+D22+D31</x:f>
      </x:c>
      <x:c r="E33" s="5">
        <x:f>E12+E22+E31</x:f>
      </x:c>
    </x:row>
    <x:row r="34" spans="1:5">
      <x:c r="A34" s="0" t="s">
        <x:v>112</x:v>
      </x:c>
      <x:c r="C34" s="5">
        <x:v>300000</x:v>
      </x:c>
      <x:c r="D34" s="5">
        <x:v>450000</x:v>
      </x:c>
      <x:c r="E34" s="5">
        <x:v>580000</x:v>
      </x:c>
    </x:row>
    <x:row r="35" spans="1:5">
      <x:c r="A35" s="2" t="s">
        <x:v>113</x:v>
      </x:c>
      <x:c r="C35" s="11">
        <x:f>C34+C33</x:f>
      </x:c>
      <x:c r="D35" s="11">
        <x:f>D34+D33</x:f>
      </x:c>
      <x:c r="E35" s="11">
        <x:f>E34+E33</x:f>
      </x:c>
    </x:row>
    <x:row r="36" spans="1:5">
      <x:c r="C36" s="5"/>
      <x:c r="D36" s="5"/>
      <x:c r="E36" s="5"/>
    </x:row>
    <x:row r="37" spans="1:5">
      <x:c r="C37" s="5"/>
      <x:c r="D37" s="5"/>
      <x:c r="E37" s="5"/>
    </x:row>
    <x:row r="38" spans="1:5">
      <x:c r="C38" s="5"/>
      <x:c r="D38" s="5"/>
      <x:c r="E38" s="5"/>
    </x:row>
    <x:row r="39" spans="1:5">
      <x:c r="C39" s="5"/>
      <x:c r="D39" s="5"/>
      <x:c r="E39" s="5"/>
    </x:row>
    <x:row r="40" spans="1:5">
      <x:c r="C40" s="5"/>
      <x:c r="D40" s="5"/>
      <x:c r="E40" s="5"/>
    </x:row>
    <x:row r="41" spans="1:5">
      <x:c r="C41" s="5"/>
      <x:c r="D41" s="5"/>
      <x:c r="E41" s="5"/>
    </x:row>
    <x:row r="42" spans="1:5">
      <x:c r="C42" s="5"/>
      <x:c r="D42" s="5"/>
      <x:c r="E42" s="5"/>
    </x:row>
    <x:row r="43" spans="1:5">
      <x:c r="C43" s="5"/>
      <x:c r="D43" s="5"/>
      <x:c r="E43" s="5"/>
    </x:row>
    <x:row r="44" spans="1:5">
      <x:c r="C44" s="5"/>
      <x:c r="D44" s="5"/>
      <x:c r="E44" s="5"/>
    </x:row>
    <x:row r="45" spans="1:5">
      <x:c r="C45" s="5"/>
      <x:c r="D45" s="5"/>
      <x:c r="E45" s="5"/>
    </x:row>
    <x:row r="46" spans="1:5">
      <x:c r="C46" s="5"/>
      <x:c r="D46" s="5"/>
      <x:c r="E46" s="5"/>
    </x:row>
    <x:row r="47" spans="1:5">
      <x:c r="C47" s="5"/>
      <x:c r="D47" s="5"/>
      <x:c r="E47" s="5"/>
    </x:row>
    <x:row r="48" spans="1:5">
      <x:c r="C48" s="5"/>
      <x:c r="D48" s="5"/>
      <x:c r="E48" s="5"/>
    </x:row>
    <x:row r="49" spans="1:5">
      <x:c r="C49" s="5"/>
      <x:c r="D49" s="5"/>
      <x:c r="E49" s="5"/>
    </x:row>
    <x:row r="50" spans="1:5">
      <x:c r="C50" s="5"/>
      <x:c r="D50" s="5"/>
      <x:c r="E50" s="5"/>
    </x:row>
    <x:row r="51" spans="1:5">
      <x:c r="C51" s="5"/>
      <x:c r="D51" s="5"/>
      <x:c r="E51" s="5"/>
    </x:row>
    <x:row r="52" spans="1:5">
      <x:c r="C52" s="5"/>
      <x:c r="D52" s="5"/>
      <x:c r="E52" s="5"/>
    </x:row>
    <x:row r="53" spans="1:5">
      <x:c r="C53" s="5"/>
      <x:c r="D53" s="5"/>
      <x:c r="E53" s="5"/>
    </x:row>
    <x:row r="54" spans="1:5">
      <x:c r="C54" s="5"/>
      <x:c r="D54" s="5"/>
      <x:c r="E54" s="5"/>
    </x:row>
    <x:row r="55" spans="1:5">
      <x:c r="C55" s="5"/>
      <x:c r="D55" s="5"/>
      <x:c r="E55" s="5"/>
    </x:row>
    <x:row r="56" spans="1:5">
      <x:c r="C56" s="5"/>
      <x:c r="D56" s="5"/>
      <x:c r="E56" s="5"/>
    </x:row>
    <x:row r="57" spans="1:5">
      <x:c r="C57" s="5"/>
      <x:c r="D57" s="5"/>
      <x:c r="E57" s="5"/>
    </x:row>
    <x:row r="58" spans="1:5">
      <x:c r="C58" s="5"/>
      <x:c r="D58" s="5"/>
      <x:c r="E58" s="5"/>
    </x:row>
    <x:row r="59" spans="1:5">
      <x:c r="C59" s="5"/>
      <x:c r="D59" s="5"/>
      <x:c r="E59" s="5"/>
    </x:row>
    <x:row r="60" spans="1:5">
      <x:c r="C60" s="5"/>
      <x:c r="D60" s="5"/>
      <x:c r="E60" s="5"/>
    </x:row>
    <x:row r="61" spans="1:5">
      <x:c r="C61" s="5"/>
      <x:c r="D61" s="5"/>
      <x:c r="E61" s="5"/>
    </x:row>
    <x:row r="62" spans="1:5">
      <x:c r="C62" s="5"/>
      <x:c r="D62" s="5"/>
      <x:c r="E62" s="5"/>
    </x:row>
    <x:row r="63" spans="1:5">
      <x:c r="C63" s="5"/>
      <x:c r="D63" s="5"/>
      <x:c r="E63" s="5"/>
    </x:row>
    <x:row r="64" spans="1:5">
      <x:c r="C64" s="5"/>
      <x:c r="D64" s="5"/>
      <x:c r="E64" s="5"/>
    </x:row>
    <x:row r="65" spans="1:5">
      <x:c r="C65" s="5"/>
      <x:c r="D65" s="5"/>
      <x:c r="E65" s="5"/>
    </x:row>
    <x:row r="66" spans="1:5">
      <x:c r="C66" s="5"/>
      <x:c r="D66" s="5"/>
      <x:c r="E66" s="5"/>
    </x:row>
    <x:row r="67" spans="1:5">
      <x:c r="C67" s="5"/>
      <x:c r="D67" s="5"/>
      <x:c r="E67" s="5"/>
    </x:row>
    <x:row r="68" spans="1:5">
      <x:c r="C68" s="5"/>
      <x:c r="D68" s="5"/>
      <x:c r="E68" s="5"/>
    </x:row>
    <x:row r="69" spans="1:5">
      <x:c r="C69" s="5"/>
      <x:c r="D69" s="5"/>
      <x:c r="E69" s="5"/>
    </x:row>
    <x:row r="70" spans="1:5">
      <x:c r="C70" s="5"/>
      <x:c r="D70" s="5"/>
      <x:c r="E70" s="5"/>
    </x:row>
    <x:row r="71" spans="1:5">
      <x:c r="C71" s="5"/>
      <x:c r="D71" s="5"/>
      <x:c r="E71" s="5"/>
    </x:row>
    <x:row r="72" spans="1:5">
      <x:c r="C72" s="5"/>
      <x:c r="D72" s="5"/>
      <x:c r="E72" s="5"/>
    </x:row>
    <x:row r="73" spans="1:5">
      <x:c r="C73" s="5"/>
      <x:c r="D73" s="5"/>
      <x:c r="E73" s="5"/>
    </x:row>
    <x:row r="74" spans="1:5">
      <x:c r="C74" s="5"/>
      <x:c r="D74" s="5"/>
      <x:c r="E74" s="5"/>
    </x:row>
    <x:row r="75" spans="1:5">
      <x:c r="C75" s="5"/>
      <x:c r="D75" s="5"/>
      <x:c r="E75" s="5"/>
    </x:row>
    <x:row r="76" spans="1:5">
      <x:c r="C76" s="5"/>
      <x:c r="D76" s="5"/>
      <x:c r="E76" s="5"/>
    </x:row>
    <x:row r="77" spans="1:5">
      <x:c r="C77" s="5"/>
      <x:c r="D77" s="5"/>
      <x:c r="E77" s="5"/>
    </x:row>
    <x:row r="78" spans="1:5">
      <x:c r="C78" s="5"/>
      <x:c r="D78" s="5"/>
      <x:c r="E78" s="5"/>
    </x:row>
    <x:row r="79" spans="1:5">
      <x:c r="C79" s="5"/>
      <x:c r="D79" s="5"/>
      <x:c r="E79" s="5"/>
    </x:row>
    <x:row r="80" spans="1:5">
      <x:c r="C80" s="5"/>
      <x:c r="D80" s="5"/>
      <x:c r="E80" s="5"/>
    </x:row>
    <x:row r="81" spans="1:5">
      <x:c r="C81" s="5"/>
      <x:c r="D81" s="5"/>
      <x:c r="E81" s="5"/>
    </x:row>
    <x:row r="82" spans="1:5">
      <x:c r="C82" s="5"/>
      <x:c r="D82" s="5"/>
      <x:c r="E82" s="5"/>
    </x:row>
    <x:row r="83" spans="1:5">
      <x:c r="C83" s="5"/>
      <x:c r="D83" s="5"/>
      <x:c r="E83" s="5"/>
    </x:row>
    <x:row r="84" spans="1:5">
      <x:c r="C84" s="5"/>
      <x:c r="D84" s="5"/>
      <x:c r="E84" s="5"/>
    </x:row>
    <x:row r="85" spans="1:5">
      <x:c r="C85" s="5"/>
      <x:c r="D85" s="5"/>
      <x:c r="E85" s="5"/>
    </x:row>
    <x:row r="86" spans="1:5">
      <x:c r="C86" s="5"/>
      <x:c r="D86" s="5"/>
      <x:c r="E86" s="5"/>
    </x:row>
    <x:row r="87" spans="1:5">
      <x:c r="C87" s="5"/>
      <x:c r="D87" s="5"/>
      <x:c r="E87" s="5"/>
    </x:row>
    <x:row r="88" spans="1:5">
      <x:c r="C88" s="5"/>
      <x:c r="D88" s="5"/>
      <x:c r="E88" s="5"/>
    </x:row>
    <x:row r="89" spans="1:5">
      <x:c r="C89" s="5"/>
      <x:c r="D89" s="5"/>
      <x:c r="E89" s="5"/>
    </x:row>
    <x:row r="90" spans="1:5">
      <x:c r="C90" s="5"/>
      <x:c r="D90" s="5"/>
      <x:c r="E90" s="5"/>
    </x:row>
    <x:row r="91" spans="1:5">
      <x:c r="C91" s="5"/>
      <x:c r="D91" s="5"/>
      <x:c r="E91" s="5"/>
    </x:row>
    <x:row r="92" spans="1:5">
      <x:c r="C92" s="5"/>
      <x:c r="D92" s="5"/>
      <x:c r="E92" s="5"/>
    </x:row>
    <x:row r="93" spans="1:5">
      <x:c r="C93" s="5"/>
      <x:c r="D93" s="5"/>
      <x:c r="E93" s="5"/>
    </x:row>
    <x:row r="94" spans="1:5">
      <x:c r="C94" s="5"/>
      <x:c r="D94" s="5"/>
      <x:c r="E94" s="5"/>
    </x:row>
    <x:row r="95" spans="1:5">
      <x:c r="C95" s="5"/>
      <x:c r="D95" s="5"/>
      <x:c r="E95" s="5"/>
    </x:row>
    <x:row r="96" spans="1:5">
      <x:c r="C96" s="5"/>
      <x:c r="D96" s="5"/>
      <x:c r="E96" s="5"/>
    </x:row>
    <x:row r="97" spans="1:5">
      <x:c r="C97" s="5"/>
      <x:c r="D97" s="5"/>
      <x:c r="E97" s="5"/>
    </x:row>
    <x:row r="98" spans="1:5">
      <x:c r="C98" s="5"/>
      <x:c r="D98" s="5"/>
      <x:c r="E98" s="5"/>
    </x:row>
    <x:row r="99" spans="1:5">
      <x:c r="C99" s="5"/>
      <x:c r="D99" s="5"/>
      <x:c r="E99" s="5"/>
    </x:row>
    <x:row r="100" spans="1:5">
      <x:c r="C100" s="5"/>
      <x:c r="D100" s="5"/>
      <x:c r="E100" s="5"/>
    </x:row>
  </x:sheetData>
  <x:mergeCells count="2">
    <x:mergeCell ref="A1:E1"/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Instructions</vt:lpstr>
      <vt:lpstr>Balance Sheet</vt:lpstr>
      <vt:lpstr>Income Statement</vt:lpstr>
      <vt:lpstr>Cash Flow</vt:lpstr>
      <vt:lpstr>Instructions!Print_Area</vt:lpstr>
      <vt:lpstr>Instructions!Print_Titles</vt:lpstr>
      <vt:lpstr>Balance Sheet!Print_Area</vt:lpstr>
      <vt:lpstr>Balance Sheet!Print_Titles</vt:lpstr>
      <vt:lpstr>Income Statement!Print_Area</vt:lpstr>
      <vt:lpstr>Income Statement!Print_Titles</vt:lpstr>
      <vt:lpstr>Cash Flow!Print_Area</vt:lpstr>
      <vt:lpstr>Cash Flow!Print_Titles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